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  <sheet name="Posiciones" sheetId="2" state="visible" r:id="rId2"/>
    <sheet name="Resultados" sheetId="3" state="visible" r:id="rId3"/>
    <sheet name="Calculos_Lig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Equipo (Amigo)</t>
        </is>
      </c>
    </row>
    <row r="2">
      <c r="A2" s="2" t="inlineStr">
        <is>
          <t>Mariopo</t>
        </is>
      </c>
    </row>
    <row r="3">
      <c r="A3" s="2" t="inlineStr">
        <is>
          <t>Dynn</t>
        </is>
      </c>
    </row>
    <row r="4">
      <c r="A4" s="2" t="inlineStr">
        <is>
          <t>diego</t>
        </is>
      </c>
    </row>
    <row r="5">
      <c r="A5" s="2" t="inlineStr">
        <is>
          <t>Eduardo</t>
        </is>
      </c>
    </row>
    <row r="6">
      <c r="A6" s="2" t="inlineStr">
        <is>
          <t>Khalvito</t>
        </is>
      </c>
    </row>
    <row r="7">
      <c r="A7" s="2" t="inlineStr">
        <is>
          <t>Manko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Posición</t>
        </is>
      </c>
      <c r="B1" s="1" t="inlineStr">
        <is>
          <t>Equipo</t>
        </is>
      </c>
      <c r="C1" s="1" t="inlineStr">
        <is>
          <t>PJ</t>
        </is>
      </c>
      <c r="D1" s="1" t="inlineStr">
        <is>
          <t>PG</t>
        </is>
      </c>
      <c r="E1" s="1" t="inlineStr">
        <is>
          <t>PE</t>
        </is>
      </c>
      <c r="F1" s="1" t="inlineStr">
        <is>
          <t>PP</t>
        </is>
      </c>
      <c r="G1" s="1" t="inlineStr">
        <is>
          <t>GF</t>
        </is>
      </c>
      <c r="H1" s="1" t="inlineStr">
        <is>
          <t>GC</t>
        </is>
      </c>
      <c r="I1" s="1" t="inlineStr">
        <is>
          <t>DG</t>
        </is>
      </c>
      <c r="J1" s="1" t="inlineStr">
        <is>
          <t>Pts</t>
        </is>
      </c>
    </row>
    <row r="2">
      <c r="A2" s="2" t="n">
        <v>1</v>
      </c>
      <c r="B2" s="2">
        <f>INDEX(Calculos_Liga!A$2:A$7, MATCH($A2, Calculos_Liga!$K$2:$K$7, 0))</f>
        <v/>
      </c>
      <c r="C2" s="2">
        <f>INDEX(Calculos_Liga!B$2:B$7, MATCH($A2, Calculos_Liga!$K$2:$K$7, 0))</f>
        <v/>
      </c>
      <c r="D2" s="2">
        <f>INDEX(Calculos_Liga!C$2:C$7, MATCH($A2, Calculos_Liga!$K$2:$K$7, 0))</f>
        <v/>
      </c>
      <c r="E2" s="2">
        <f>INDEX(Calculos_Liga!D$2:D$7, MATCH($A2, Calculos_Liga!$K$2:$K$7, 0))</f>
        <v/>
      </c>
      <c r="F2" s="2">
        <f>INDEX(Calculos_Liga!E$2:E$7, MATCH($A2, Calculos_Liga!$K$2:$K$7, 0))</f>
        <v/>
      </c>
      <c r="G2" s="2">
        <f>INDEX(Calculos_Liga!F$2:F$7, MATCH($A2, Calculos_Liga!$K$2:$K$7, 0))</f>
        <v/>
      </c>
      <c r="H2" s="2">
        <f>INDEX(Calculos_Liga!G$2:G$7, MATCH($A2, Calculos_Liga!$K$2:$K$7, 0))</f>
        <v/>
      </c>
      <c r="I2" s="2">
        <f>INDEX(Calculos_Liga!H$2:H$7, MATCH($A2, Calculos_Liga!$K$2:$K$7, 0))</f>
        <v/>
      </c>
      <c r="J2" s="2">
        <f>INDEX(Calculos_Liga!I$2:I$7, MATCH($A2, Calculos_Liga!$K$2:$K$7, 0))</f>
        <v/>
      </c>
    </row>
    <row r="3">
      <c r="A3" s="2" t="n">
        <v>2</v>
      </c>
      <c r="B3" s="2">
        <f>INDEX(Calculos_Liga!A$2:A$7, MATCH($A3, Calculos_Liga!$K$2:$K$7, 0))</f>
        <v/>
      </c>
      <c r="C3" s="2">
        <f>INDEX(Calculos_Liga!B$2:B$7, MATCH($A3, Calculos_Liga!$K$2:$K$7, 0))</f>
        <v/>
      </c>
      <c r="D3" s="2">
        <f>INDEX(Calculos_Liga!C$2:C$7, MATCH($A3, Calculos_Liga!$K$2:$K$7, 0))</f>
        <v/>
      </c>
      <c r="E3" s="2">
        <f>INDEX(Calculos_Liga!D$2:D$7, MATCH($A3, Calculos_Liga!$K$2:$K$7, 0))</f>
        <v/>
      </c>
      <c r="F3" s="2">
        <f>INDEX(Calculos_Liga!E$2:E$7, MATCH($A3, Calculos_Liga!$K$2:$K$7, 0))</f>
        <v/>
      </c>
      <c r="G3" s="2">
        <f>INDEX(Calculos_Liga!F$2:F$7, MATCH($A3, Calculos_Liga!$K$2:$K$7, 0))</f>
        <v/>
      </c>
      <c r="H3" s="2">
        <f>INDEX(Calculos_Liga!G$2:G$7, MATCH($A3, Calculos_Liga!$K$2:$K$7, 0))</f>
        <v/>
      </c>
      <c r="I3" s="2">
        <f>INDEX(Calculos_Liga!H$2:H$7, MATCH($A3, Calculos_Liga!$K$2:$K$7, 0))</f>
        <v/>
      </c>
      <c r="J3" s="2">
        <f>INDEX(Calculos_Liga!I$2:I$7, MATCH($A3, Calculos_Liga!$K$2:$K$7, 0))</f>
        <v/>
      </c>
    </row>
    <row r="4">
      <c r="A4" s="2" t="n">
        <v>3</v>
      </c>
      <c r="B4" s="2">
        <f>INDEX(Calculos_Liga!A$2:A$7, MATCH($A4, Calculos_Liga!$K$2:$K$7, 0))</f>
        <v/>
      </c>
      <c r="C4" s="2">
        <f>INDEX(Calculos_Liga!B$2:B$7, MATCH($A4, Calculos_Liga!$K$2:$K$7, 0))</f>
        <v/>
      </c>
      <c r="D4" s="2">
        <f>INDEX(Calculos_Liga!C$2:C$7, MATCH($A4, Calculos_Liga!$K$2:$K$7, 0))</f>
        <v/>
      </c>
      <c r="E4" s="2">
        <f>INDEX(Calculos_Liga!D$2:D$7, MATCH($A4, Calculos_Liga!$K$2:$K$7, 0))</f>
        <v/>
      </c>
      <c r="F4" s="2">
        <f>INDEX(Calculos_Liga!E$2:E$7, MATCH($A4, Calculos_Liga!$K$2:$K$7, 0))</f>
        <v/>
      </c>
      <c r="G4" s="2">
        <f>INDEX(Calculos_Liga!F$2:F$7, MATCH($A4, Calculos_Liga!$K$2:$K$7, 0))</f>
        <v/>
      </c>
      <c r="H4" s="2">
        <f>INDEX(Calculos_Liga!G$2:G$7, MATCH($A4, Calculos_Liga!$K$2:$K$7, 0))</f>
        <v/>
      </c>
      <c r="I4" s="2">
        <f>INDEX(Calculos_Liga!H$2:H$7, MATCH($A4, Calculos_Liga!$K$2:$K$7, 0))</f>
        <v/>
      </c>
      <c r="J4" s="2">
        <f>INDEX(Calculos_Liga!I$2:I$7, MATCH($A4, Calculos_Liga!$K$2:$K$7, 0))</f>
        <v/>
      </c>
    </row>
    <row r="5">
      <c r="A5" s="2" t="n">
        <v>4</v>
      </c>
      <c r="B5" s="2">
        <f>INDEX(Calculos_Liga!A$2:A$7, MATCH($A5, Calculos_Liga!$K$2:$K$7, 0))</f>
        <v/>
      </c>
      <c r="C5" s="2">
        <f>INDEX(Calculos_Liga!B$2:B$7, MATCH($A5, Calculos_Liga!$K$2:$K$7, 0))</f>
        <v/>
      </c>
      <c r="D5" s="2">
        <f>INDEX(Calculos_Liga!C$2:C$7, MATCH($A5, Calculos_Liga!$K$2:$K$7, 0))</f>
        <v/>
      </c>
      <c r="E5" s="2">
        <f>INDEX(Calculos_Liga!D$2:D$7, MATCH($A5, Calculos_Liga!$K$2:$K$7, 0))</f>
        <v/>
      </c>
      <c r="F5" s="2">
        <f>INDEX(Calculos_Liga!E$2:E$7, MATCH($A5, Calculos_Liga!$K$2:$K$7, 0))</f>
        <v/>
      </c>
      <c r="G5" s="2">
        <f>INDEX(Calculos_Liga!F$2:F$7, MATCH($A5, Calculos_Liga!$K$2:$K$7, 0))</f>
        <v/>
      </c>
      <c r="H5" s="2">
        <f>INDEX(Calculos_Liga!G$2:G$7, MATCH($A5, Calculos_Liga!$K$2:$K$7, 0))</f>
        <v/>
      </c>
      <c r="I5" s="2">
        <f>INDEX(Calculos_Liga!H$2:H$7, MATCH($A5, Calculos_Liga!$K$2:$K$7, 0))</f>
        <v/>
      </c>
      <c r="J5" s="2">
        <f>INDEX(Calculos_Liga!I$2:I$7, MATCH($A5, Calculos_Liga!$K$2:$K$7, 0))</f>
        <v/>
      </c>
    </row>
    <row r="6">
      <c r="A6" s="2" t="n">
        <v>5</v>
      </c>
      <c r="B6" s="2">
        <f>INDEX(Calculos_Liga!A$2:A$7, MATCH($A6, Calculos_Liga!$K$2:$K$7, 0))</f>
        <v/>
      </c>
      <c r="C6" s="2">
        <f>INDEX(Calculos_Liga!B$2:B$7, MATCH($A6, Calculos_Liga!$K$2:$K$7, 0))</f>
        <v/>
      </c>
      <c r="D6" s="2">
        <f>INDEX(Calculos_Liga!C$2:C$7, MATCH($A6, Calculos_Liga!$K$2:$K$7, 0))</f>
        <v/>
      </c>
      <c r="E6" s="2">
        <f>INDEX(Calculos_Liga!D$2:D$7, MATCH($A6, Calculos_Liga!$K$2:$K$7, 0))</f>
        <v/>
      </c>
      <c r="F6" s="2">
        <f>INDEX(Calculos_Liga!E$2:E$7, MATCH($A6, Calculos_Liga!$K$2:$K$7, 0))</f>
        <v/>
      </c>
      <c r="G6" s="2">
        <f>INDEX(Calculos_Liga!F$2:F$7, MATCH($A6, Calculos_Liga!$K$2:$K$7, 0))</f>
        <v/>
      </c>
      <c r="H6" s="2">
        <f>INDEX(Calculos_Liga!G$2:G$7, MATCH($A6, Calculos_Liga!$K$2:$K$7, 0))</f>
        <v/>
      </c>
      <c r="I6" s="2">
        <f>INDEX(Calculos_Liga!H$2:H$7, MATCH($A6, Calculos_Liga!$K$2:$K$7, 0))</f>
        <v/>
      </c>
      <c r="J6" s="2">
        <f>INDEX(Calculos_Liga!I$2:I$7, MATCH($A6, Calculos_Liga!$K$2:$K$7, 0))</f>
        <v/>
      </c>
    </row>
    <row r="7">
      <c r="A7" s="2" t="n">
        <v>6</v>
      </c>
      <c r="B7" s="2">
        <f>INDEX(Calculos_Liga!A$2:A$7, MATCH($A7, Calculos_Liga!$K$2:$K$7, 0))</f>
        <v/>
      </c>
      <c r="C7" s="2">
        <f>INDEX(Calculos_Liga!B$2:B$7, MATCH($A7, Calculos_Liga!$K$2:$K$7, 0))</f>
        <v/>
      </c>
      <c r="D7" s="2">
        <f>INDEX(Calculos_Liga!C$2:C$7, MATCH($A7, Calculos_Liga!$K$2:$K$7, 0))</f>
        <v/>
      </c>
      <c r="E7" s="2">
        <f>INDEX(Calculos_Liga!D$2:D$7, MATCH($A7, Calculos_Liga!$K$2:$K$7, 0))</f>
        <v/>
      </c>
      <c r="F7" s="2">
        <f>INDEX(Calculos_Liga!E$2:E$7, MATCH($A7, Calculos_Liga!$K$2:$K$7, 0))</f>
        <v/>
      </c>
      <c r="G7" s="2">
        <f>INDEX(Calculos_Liga!F$2:F$7, MATCH($A7, Calculos_Liga!$K$2:$K$7, 0))</f>
        <v/>
      </c>
      <c r="H7" s="2">
        <f>INDEX(Calculos_Liga!G$2:G$7, MATCH($A7, Calculos_Liga!$K$2:$K$7, 0))</f>
        <v/>
      </c>
      <c r="I7" s="2">
        <f>INDEX(Calculos_Liga!H$2:H$7, MATCH($A7, Calculos_Liga!$K$2:$K$7, 0))</f>
        <v/>
      </c>
      <c r="J7" s="2">
        <f>INDEX(Calculos_Liga!I$2:I$7, MATCH($A7, Calculos_Liga!$K$2:$K$7, 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Jornada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Equipo Visitante</t>
        </is>
      </c>
    </row>
  </sheetData>
  <dataValidations count="1">
    <dataValidation sqref="B2:B100 E2:E100" showDropDown="0" showInputMessage="0" showErrorMessage="0" allowBlank="1" type="list">
      <formula1>=Equipos!$A$2:$A$7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PJ</t>
        </is>
      </c>
      <c r="C1" t="inlineStr">
        <is>
          <t>PG</t>
        </is>
      </c>
      <c r="D1" t="inlineStr">
        <is>
          <t>PE</t>
        </is>
      </c>
      <c r="E1" t="inlineStr">
        <is>
          <t>PP</t>
        </is>
      </c>
      <c r="F1" t="inlineStr">
        <is>
          <t>GF</t>
        </is>
      </c>
      <c r="G1" t="inlineStr">
        <is>
          <t>GC</t>
        </is>
      </c>
      <c r="H1" t="inlineStr">
        <is>
          <t>DG</t>
        </is>
      </c>
      <c r="I1" t="inlineStr">
        <is>
          <t>Pts</t>
        </is>
      </c>
      <c r="J1" t="inlineStr">
        <is>
          <t>Score</t>
        </is>
      </c>
      <c r="K1" t="inlineStr">
        <is>
          <t>Rank</t>
        </is>
      </c>
    </row>
    <row r="2">
      <c r="A2">
        <f>Equipos!A2</f>
        <v/>
      </c>
      <c r="B2">
        <f>SUMPRODUCT((Resultados!$B$2:$B$100=A2)*(Resultados!$C$2:$C$100&lt;&gt;"")) + SUMPRODUCT((Resultados!$E$2:$E$100=A2)*(Resultados!$D$2:$D$100&lt;&gt;""))</f>
        <v/>
      </c>
      <c r="C2">
        <f>SUMPRODUCT((Resultados!$B$2:$B$100=A2)*(Resultados!$C$2:$C$100&gt;Resultados!$D$2:$D$100)*(Resultados!$C$2:$C$100&lt;&gt;"")) + SUMPRODUCT((Resultados!$E$2:$E$100=A2)*(Resultados!$D$2:$D$100&gt;Resultados!$C$2:$C$100)*(Resultados!$C$2:$C$100&lt;&gt;""))</f>
        <v/>
      </c>
      <c r="D2">
        <f>SUMPRODUCT((Resultados!$B$2:$B$100=A2)*(Resultados!$C$2:$C$100=Resultados!$D$2:$D$100)*(Resultados!$C$2:$C$100&lt;&gt;"")) + SUMPRODUCT((Resultados!$E$2:$E$100=A2)*(Resultados!$D$2:$D$100=Resultados!$C$2:$C$100)*(Resultados!$D$2:$D$100&lt;&gt;""))</f>
        <v/>
      </c>
      <c r="E2">
        <f>SUMPRODUCT((Resultados!$B$2:$B$100=A2)*(Resultados!$C$2:$C$100&lt;Resultados!$D$2:$D$100)*(Resultados!$C$2:$C$100&lt;&gt;"")) + SUMPRODUCT((Resultados!$E$2:$E$100=A2)*(Resultados!$D$2:$D$100&lt;Resultados!$C$2:$C$100)*(Resultados!$C$2:$C$100&lt;&gt;""))</f>
        <v/>
      </c>
      <c r="F2">
        <f>SUMIF(Resultados!$B$2:$B$100, A2, Resultados!$C$2:$C$100) + SUMIF(Resultados!$E$2:$E$100, A2, Resultados!$D$2:$D$100)</f>
        <v/>
      </c>
      <c r="G2">
        <f>SUMIF(Resultados!$B$2:$B$100, A2, Resultados!$D$2:$D$100) + SUMIF(Resultados!$E$2:$E$100, A2, Resultados!$C$2:$C$100)</f>
        <v/>
      </c>
      <c r="H2">
        <f>F2-G2</f>
        <v/>
      </c>
      <c r="I2">
        <f>C2*3 + D2*1</f>
        <v/>
      </c>
      <c r="J2">
        <f>I2*10000 + H2*100 + F2</f>
        <v/>
      </c>
      <c r="K2">
        <f>RANK.EQ(J2, $J$2:$J$7) + COUNTIF($J$2:J2, J2) - 1</f>
        <v/>
      </c>
    </row>
    <row r="3">
      <c r="A3">
        <f>Equipos!A3</f>
        <v/>
      </c>
      <c r="B3">
        <f>SUMPRODUCT((Resultados!$B$2:$B$100=A3)*(Resultados!$C$2:$C$100&lt;&gt;"")) + SUMPRODUCT((Resultados!$E$2:$E$100=A3)*(Resultados!$D$2:$D$100&lt;&gt;""))</f>
        <v/>
      </c>
      <c r="C3">
        <f>SUMPRODUCT((Resultados!$B$2:$B$100=A3)*(Resultados!$C$2:$C$100&gt;Resultados!$D$2:$D$100)*(Resultados!$C$2:$C$100&lt;&gt;"")) + SUMPRODUCT((Resultados!$E$2:$E$100=A3)*(Resultados!$D$2:$D$100&gt;Resultados!$C$2:$C$100)*(Resultados!$C$2:$C$100&lt;&gt;""))</f>
        <v/>
      </c>
      <c r="D3">
        <f>SUMPRODUCT((Resultados!$B$2:$B$100=A3)*(Resultados!$C$2:$C$100=Resultados!$D$2:$D$100)*(Resultados!$C$2:$C$100&lt;&gt;"")) + SUMPRODUCT((Resultados!$E$2:$E$100=A3)*(Resultados!$D$2:$D$100=Resultados!$C$2:$C$100)*(Resultados!$D$2:$D$100&lt;&gt;""))</f>
        <v/>
      </c>
      <c r="E3">
        <f>SUMPRODUCT((Resultados!$B$2:$B$100=A3)*(Resultados!$C$2:$C$100&lt;Resultados!$D$2:$D$100)*(Resultados!$C$2:$C$100&lt;&gt;"")) + SUMPRODUCT((Resultados!$E$2:$E$100=A3)*(Resultados!$D$2:$D$100&lt;Resultados!$C$2:$C$100)*(Resultados!$C$2:$C$100&lt;&gt;""))</f>
        <v/>
      </c>
      <c r="F3">
        <f>SUMIF(Resultados!$B$2:$B$100, A3, Resultados!$C$2:$C$100) + SUMIF(Resultados!$E$2:$E$100, A3, Resultados!$D$2:$D$100)</f>
        <v/>
      </c>
      <c r="G3">
        <f>SUMIF(Resultados!$B$2:$B$100, A3, Resultados!$D$2:$D$100) + SUMIF(Resultados!$E$2:$E$100, A3, Resultados!$C$2:$C$100)</f>
        <v/>
      </c>
      <c r="H3">
        <f>F3-G3</f>
        <v/>
      </c>
      <c r="I3">
        <f>C3*3 + D3*1</f>
        <v/>
      </c>
      <c r="J3">
        <f>I3*10000 + H3*100 + F3</f>
        <v/>
      </c>
      <c r="K3">
        <f>RANK.EQ(J3, $J$2:$J$7) + COUNTIF($J$2:J3, J3) - 1</f>
        <v/>
      </c>
    </row>
    <row r="4">
      <c r="A4">
        <f>Equipos!A4</f>
        <v/>
      </c>
      <c r="B4">
        <f>SUMPRODUCT((Resultados!$B$2:$B$100=A4)*(Resultados!$C$2:$C$100&lt;&gt;"")) + SUMPRODUCT((Resultados!$E$2:$E$100=A4)*(Resultados!$D$2:$D$100&lt;&gt;""))</f>
        <v/>
      </c>
      <c r="C4">
        <f>SUMPRODUCT((Resultados!$B$2:$B$100=A4)*(Resultados!$C$2:$C$100&gt;Resultados!$D$2:$D$100)*(Resultados!$C$2:$C$100&lt;&gt;"")) + SUMPRODUCT((Resultados!$E$2:$E$100=A4)*(Resultados!$D$2:$D$100&gt;Resultados!$C$2:$C$100)*(Resultados!$C$2:$C$100&lt;&gt;""))</f>
        <v/>
      </c>
      <c r="D4">
        <f>SUMPRODUCT((Resultados!$B$2:$B$100=A4)*(Resultados!$C$2:$C$100=Resultados!$D$2:$D$100)*(Resultados!$C$2:$C$100&lt;&gt;"")) + SUMPRODUCT((Resultados!$E$2:$E$100=A4)*(Resultados!$D$2:$D$100=Resultados!$C$2:$C$100)*(Resultados!$D$2:$D$100&lt;&gt;""))</f>
        <v/>
      </c>
      <c r="E4">
        <f>SUMPRODUCT((Resultados!$B$2:$B$100=A4)*(Resultados!$C$2:$C$100&lt;Resultados!$D$2:$D$100)*(Resultados!$C$2:$C$100&lt;&gt;"")) + SUMPRODUCT((Resultados!$E$2:$E$100=A4)*(Resultados!$D$2:$D$100&lt;Resultados!$C$2:$C$100)*(Resultados!$C$2:$C$100&lt;&gt;""))</f>
        <v/>
      </c>
      <c r="F4">
        <f>SUMIF(Resultados!$B$2:$B$100, A4, Resultados!$C$2:$C$100) + SUMIF(Resultados!$E$2:$E$100, A4, Resultados!$D$2:$D$100)</f>
        <v/>
      </c>
      <c r="G4">
        <f>SUMIF(Resultados!$B$2:$B$100, A4, Resultados!$D$2:$D$100) + SUMIF(Resultados!$E$2:$E$100, A4, Resultados!$C$2:$C$100)</f>
        <v/>
      </c>
      <c r="H4">
        <f>F4-G4</f>
        <v/>
      </c>
      <c r="I4">
        <f>C4*3 + D4*1</f>
        <v/>
      </c>
      <c r="J4">
        <f>I4*10000 + H4*100 + F4</f>
        <v/>
      </c>
      <c r="K4">
        <f>RANK.EQ(J4, $J$2:$J$7) + COUNTIF($J$2:J4, J4) - 1</f>
        <v/>
      </c>
    </row>
    <row r="5">
      <c r="A5">
        <f>Equipos!A5</f>
        <v/>
      </c>
      <c r="B5">
        <f>SUMPRODUCT((Resultados!$B$2:$B$100=A5)*(Resultados!$C$2:$C$100&lt;&gt;"")) + SUMPRODUCT((Resultados!$E$2:$E$100=A5)*(Resultados!$D$2:$D$100&lt;&gt;""))</f>
        <v/>
      </c>
      <c r="C5">
        <f>SUMPRODUCT((Resultados!$B$2:$B$100=A5)*(Resultados!$C$2:$C$100&gt;Resultados!$D$2:$D$100)*(Resultados!$C$2:$C$100&lt;&gt;"")) + SUMPRODUCT((Resultados!$E$2:$E$100=A5)*(Resultados!$D$2:$D$100&gt;Resultados!$C$2:$C$100)*(Resultados!$C$2:$C$100&lt;&gt;""))</f>
        <v/>
      </c>
      <c r="D5">
        <f>SUMPRODUCT((Resultados!$B$2:$B$100=A5)*(Resultados!$C$2:$C$100=Resultados!$D$2:$D$100)*(Resultados!$C$2:$C$100&lt;&gt;"")) + SUMPRODUCT((Resultados!$E$2:$E$100=A5)*(Resultados!$D$2:$D$100=Resultados!$C$2:$C$100)*(Resultados!$D$2:$D$100&lt;&gt;""))</f>
        <v/>
      </c>
      <c r="E5">
        <f>SUMPRODUCT((Resultados!$B$2:$B$100=A5)*(Resultados!$C$2:$C$100&lt;Resultados!$D$2:$D$100)*(Resultados!$C$2:$C$100&lt;&gt;"")) + SUMPRODUCT((Resultados!$E$2:$E$100=A5)*(Resultados!$D$2:$D$100&lt;Resultados!$C$2:$C$100)*(Resultados!$C$2:$C$100&lt;&gt;""))</f>
        <v/>
      </c>
      <c r="F5">
        <f>SUMIF(Resultados!$B$2:$B$100, A5, Resultados!$C$2:$C$100) + SUMIF(Resultados!$E$2:$E$100, A5, Resultados!$D$2:$D$100)</f>
        <v/>
      </c>
      <c r="G5">
        <f>SUMIF(Resultados!$B$2:$B$100, A5, Resultados!$D$2:$D$100) + SUMIF(Resultados!$E$2:$E$100, A5, Resultados!$C$2:$C$100)</f>
        <v/>
      </c>
      <c r="H5">
        <f>F5-G5</f>
        <v/>
      </c>
      <c r="I5">
        <f>C5*3 + D5*1</f>
        <v/>
      </c>
      <c r="J5">
        <f>I5*10000 + H5*100 + F5</f>
        <v/>
      </c>
      <c r="K5">
        <f>RANK.EQ(J5, $J$2:$J$7) + COUNTIF($J$2:J5, J5) - 1</f>
        <v/>
      </c>
    </row>
    <row r="6">
      <c r="A6">
        <f>Equipos!A6</f>
        <v/>
      </c>
      <c r="B6">
        <f>SUMPRODUCT((Resultados!$B$2:$B$100=A6)*(Resultados!$C$2:$C$100&lt;&gt;"")) + SUMPRODUCT((Resultados!$E$2:$E$100=A6)*(Resultados!$D$2:$D$100&lt;&gt;""))</f>
        <v/>
      </c>
      <c r="C6">
        <f>SUMPRODUCT((Resultados!$B$2:$B$100=A6)*(Resultados!$C$2:$C$100&gt;Resultados!$D$2:$D$100)*(Resultados!$C$2:$C$100&lt;&gt;"")) + SUMPRODUCT((Resultados!$E$2:$E$100=A6)*(Resultados!$D$2:$D$100&gt;Resultados!$C$2:$C$100)*(Resultados!$C$2:$C$100&lt;&gt;""))</f>
        <v/>
      </c>
      <c r="D6">
        <f>SUMPRODUCT((Resultados!$B$2:$B$100=A6)*(Resultados!$C$2:$C$100=Resultados!$D$2:$D$100)*(Resultados!$C$2:$C$100&lt;&gt;"")) + SUMPRODUCT((Resultados!$E$2:$E$100=A6)*(Resultados!$D$2:$D$100=Resultados!$C$2:$C$100)*(Resultados!$D$2:$D$100&lt;&gt;""))</f>
        <v/>
      </c>
      <c r="E6">
        <f>SUMPRODUCT((Resultados!$B$2:$B$100=A6)*(Resultados!$C$2:$C$100&lt;Resultados!$D$2:$D$100)*(Resultados!$C$2:$C$100&lt;&gt;"")) + SUMPRODUCT((Resultados!$E$2:$E$100=A6)*(Resultados!$D$2:$D$100&lt;Resultados!$C$2:$C$100)*(Resultados!$C$2:$C$100&lt;&gt;""))</f>
        <v/>
      </c>
      <c r="F6">
        <f>SUMIF(Resultados!$B$2:$B$100, A6, Resultados!$C$2:$C$100) + SUMIF(Resultados!$E$2:$E$100, A6, Resultados!$D$2:$D$100)</f>
        <v/>
      </c>
      <c r="G6">
        <f>SUMIF(Resultados!$B$2:$B$100, A6, Resultados!$D$2:$D$100) + SUMIF(Resultados!$E$2:$E$100, A6, Resultados!$C$2:$C$100)</f>
        <v/>
      </c>
      <c r="H6">
        <f>F6-G6</f>
        <v/>
      </c>
      <c r="I6">
        <f>C6*3 + D6*1</f>
        <v/>
      </c>
      <c r="J6">
        <f>I6*10000 + H6*100 + F6</f>
        <v/>
      </c>
      <c r="K6">
        <f>RANK.EQ(J6, $J$2:$J$7) + COUNTIF($J$2:J6, J6) - 1</f>
        <v/>
      </c>
    </row>
    <row r="7">
      <c r="A7">
        <f>Equipos!A7</f>
        <v/>
      </c>
      <c r="B7">
        <f>SUMPRODUCT((Resultados!$B$2:$B$100=A7)*(Resultados!$C$2:$C$100&lt;&gt;"")) + SUMPRODUCT((Resultados!$E$2:$E$100=A7)*(Resultados!$D$2:$D$100&lt;&gt;""))</f>
        <v/>
      </c>
      <c r="C7">
        <f>SUMPRODUCT((Resultados!$B$2:$B$100=A7)*(Resultados!$C$2:$C$100&gt;Resultados!$D$2:$D$100)*(Resultados!$C$2:$C$100&lt;&gt;"")) + SUMPRODUCT((Resultados!$E$2:$E$100=A7)*(Resultados!$D$2:$D$100&gt;Resultados!$C$2:$C$100)*(Resultados!$C$2:$C$100&lt;&gt;""))</f>
        <v/>
      </c>
      <c r="D7">
        <f>SUMPRODUCT((Resultados!$B$2:$B$100=A7)*(Resultados!$C$2:$C$100=Resultados!$D$2:$D$100)*(Resultados!$C$2:$C$100&lt;&gt;"")) + SUMPRODUCT((Resultados!$E$2:$E$100=A7)*(Resultados!$D$2:$D$100=Resultados!$C$2:$C$100)*(Resultados!$D$2:$D$100&lt;&gt;""))</f>
        <v/>
      </c>
      <c r="E7">
        <f>SUMPRODUCT((Resultados!$B$2:$B$100=A7)*(Resultados!$C$2:$C$100&lt;Resultados!$D$2:$D$100)*(Resultados!$C$2:$C$100&lt;&gt;"")) + SUMPRODUCT((Resultados!$E$2:$E$100=A7)*(Resultados!$D$2:$D$100&lt;Resultados!$C$2:$C$100)*(Resultados!$C$2:$C$100&lt;&gt;""))</f>
        <v/>
      </c>
      <c r="F7">
        <f>SUMIF(Resultados!$B$2:$B$100, A7, Resultados!$C$2:$C$100) + SUMIF(Resultados!$E$2:$E$100, A7, Resultados!$D$2:$D$100)</f>
        <v/>
      </c>
      <c r="G7">
        <f>SUMIF(Resultados!$B$2:$B$100, A7, Resultados!$D$2:$D$100) + SUMIF(Resultados!$E$2:$E$100, A7, Resultados!$C$2:$C$100)</f>
        <v/>
      </c>
      <c r="H7">
        <f>F7-G7</f>
        <v/>
      </c>
      <c r="I7">
        <f>C7*3 + D7*1</f>
        <v/>
      </c>
      <c r="J7">
        <f>I7*10000 + H7*100 + F7</f>
        <v/>
      </c>
      <c r="K7">
        <f>RANK.EQ(J7, $J$2:$J$7) + COUNTIF($J$2:J7, J7) - 1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2026-08-08T22:22:58Z</dcterms:created>
  <dcterms:modified xsi:type="dcterms:W3CDTF">2026-08-08T22:22:58Z</dcterms:modified>
</cp:coreProperties>
</file>